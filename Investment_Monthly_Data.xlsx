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92412\Desktop\Investment\"/>
    </mc:Choice>
  </mc:AlternateContent>
  <xr:revisionPtr revIDLastSave="0" documentId="13_ncr:1_{2F816E68-16EF-48F9-B5C8-A9993F6091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3" i="1"/>
  <c r="C2" i="1"/>
  <c r="C4" i="1"/>
</calcChain>
</file>

<file path=xl/sharedStrings.xml><?xml version="1.0" encoding="utf-8"?>
<sst xmlns="http://schemas.openxmlformats.org/spreadsheetml/2006/main" count="9" uniqueCount="9">
  <si>
    <t>CIBC_USD</t>
  </si>
  <si>
    <t>CIBC_CAD</t>
  </si>
  <si>
    <t>BMO_CAD</t>
  </si>
  <si>
    <t>Yearly_Return</t>
  </si>
  <si>
    <t>Inflation_rate_US</t>
  </si>
  <si>
    <t>PMI</t>
  </si>
  <si>
    <t>PCE</t>
  </si>
  <si>
    <t>PPI</t>
  </si>
  <si>
    <t>Interests_rate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</si>
</sst>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selection activeCell="T21" sqref="T21"/>
    </sheetView>
  </sheetViews>
  <sheetFormatPr defaultColWidth="9" defaultRowHeight="14.4"/>
  <cols>
    <col min="1" max="1" width="20.21875" customWidth="1"/>
    <col min="2" max="2" width="22.109375" customWidth="1"/>
    <col min="3" max="3" width="24.88671875" customWidth="1"/>
    <col min="4" max="4" width="22.6640625" customWidth="1"/>
    <col min="5" max="5" width="19.44140625" customWidth="1"/>
    <col min="6" max="6" width="9.6640625" customWidth="1"/>
    <col min="7" max="7" width="8.109375" customWidth="1"/>
    <col min="9" max="9" width="15.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33061.120000000003</v>
      </c>
      <c r="B2">
        <v>28000</v>
      </c>
      <c r="C2">
        <f>34500 - 4100</f>
        <v>30400</v>
      </c>
      <c r="D2">
        <v>11.62</v>
      </c>
      <c r="E2">
        <v>2.5</v>
      </c>
      <c r="G2">
        <v>1</v>
      </c>
      <c r="H2">
        <v>1</v>
      </c>
    </row>
    <row r="3" spans="1:9">
      <c r="A3">
        <v>32934.79</v>
      </c>
      <c r="B3">
        <v>28000</v>
      </c>
      <c r="C3">
        <f>34543-4100</f>
        <v>30443</v>
      </c>
      <c r="D3">
        <v>37.49</v>
      </c>
      <c r="E3">
        <v>2.2999999999999998</v>
      </c>
    </row>
    <row r="4" spans="1:9">
      <c r="A4">
        <v>28129.95</v>
      </c>
      <c r="B4">
        <v>27911.599999999999</v>
      </c>
      <c r="C4" s="1">
        <f>34592.9-4900</f>
        <v>29692.9</v>
      </c>
      <c r="D4">
        <v>43.61</v>
      </c>
      <c r="E4">
        <v>1.5</v>
      </c>
    </row>
    <row r="5" spans="1:9">
      <c r="A5">
        <v>28045.95</v>
      </c>
      <c r="B5">
        <v>27699.7</v>
      </c>
      <c r="C5">
        <f>34648.24-4100</f>
        <v>30548.239999999998</v>
      </c>
      <c r="D5">
        <v>-8.42</v>
      </c>
      <c r="E5">
        <v>0.3</v>
      </c>
    </row>
    <row r="6" spans="1:9">
      <c r="A6">
        <v>25961.99</v>
      </c>
      <c r="B6">
        <v>26042.04</v>
      </c>
      <c r="C6">
        <f>34427.24-4100</f>
        <v>30327.239999999998</v>
      </c>
      <c r="D6">
        <v>-24.9</v>
      </c>
      <c r="E6">
        <v>0.1</v>
      </c>
    </row>
    <row r="7" spans="1:9">
      <c r="A7">
        <v>28053.45</v>
      </c>
      <c r="B7">
        <v>25264.99</v>
      </c>
      <c r="C7">
        <f>34440.84-4100</f>
        <v>30340.839999999997</v>
      </c>
      <c r="D7">
        <v>-43.34</v>
      </c>
      <c r="E7">
        <v>0.6</v>
      </c>
    </row>
    <row r="8" spans="1:9">
      <c r="A8">
        <v>28448.29</v>
      </c>
      <c r="B8">
        <v>27828.51</v>
      </c>
      <c r="C8">
        <f>34909.14-4100</f>
        <v>30809.14</v>
      </c>
      <c r="D8">
        <v>-8.19</v>
      </c>
      <c r="E8">
        <v>1</v>
      </c>
    </row>
    <row r="9" spans="1:9">
      <c r="A9">
        <v>26821.77</v>
      </c>
      <c r="B9">
        <v>28911.7</v>
      </c>
      <c r="C9">
        <f>35054.49-4100</f>
        <v>30954.489999999998</v>
      </c>
      <c r="D9">
        <v>53.99</v>
      </c>
      <c r="E9">
        <v>1.3</v>
      </c>
    </row>
    <row r="10" spans="1:9">
      <c r="A10">
        <v>26674.99</v>
      </c>
      <c r="B10" s="1">
        <v>28432.89</v>
      </c>
      <c r="C10">
        <f>-4100+35264.59</f>
        <v>31164.589999999997</v>
      </c>
      <c r="D10">
        <v>-1.44</v>
      </c>
      <c r="E10">
        <v>1.4</v>
      </c>
    </row>
    <row r="11" spans="1:9">
      <c r="A11">
        <v>26216.71</v>
      </c>
      <c r="B11" s="1">
        <v>27871.61</v>
      </c>
      <c r="C11">
        <f>-4100+34650.94</f>
        <v>30550.940000000002</v>
      </c>
      <c r="D11">
        <v>47.67</v>
      </c>
      <c r="E11">
        <v>1.2</v>
      </c>
    </row>
    <row r="12" spans="1:9">
      <c r="A12">
        <v>25840.880000000001</v>
      </c>
      <c r="B12" s="1">
        <v>27845.3</v>
      </c>
      <c r="C12">
        <v>30703.99</v>
      </c>
      <c r="D12">
        <v>33.92</v>
      </c>
      <c r="E12">
        <v>1.2</v>
      </c>
    </row>
    <row r="13" spans="1:9">
      <c r="A13">
        <v>27138.13</v>
      </c>
      <c r="B13" s="1">
        <v>26275.47</v>
      </c>
      <c r="C13">
        <v>30000</v>
      </c>
      <c r="D13">
        <v>-35.03</v>
      </c>
      <c r="E13">
        <v>1.4</v>
      </c>
    </row>
    <row r="14" spans="1:9">
      <c r="A14">
        <v>26989.19</v>
      </c>
      <c r="B14" s="1">
        <v>27012.15</v>
      </c>
      <c r="C14">
        <v>29450.99</v>
      </c>
      <c r="D14">
        <v>31.12</v>
      </c>
      <c r="E14">
        <v>1.4</v>
      </c>
    </row>
    <row r="15" spans="1:9">
      <c r="A15">
        <v>27617.79</v>
      </c>
      <c r="B15" s="1">
        <v>27398</v>
      </c>
      <c r="C15">
        <v>30346.99</v>
      </c>
      <c r="D15">
        <v>-0.41</v>
      </c>
      <c r="E15">
        <v>1.7</v>
      </c>
    </row>
    <row r="16" spans="1:9">
      <c r="A16">
        <v>27191.62</v>
      </c>
      <c r="B16" s="1">
        <v>28438.52</v>
      </c>
      <c r="C16">
        <v>31184.99</v>
      </c>
      <c r="D16">
        <v>-9.7799999999999994</v>
      </c>
      <c r="E16">
        <v>2.6</v>
      </c>
    </row>
    <row r="17" spans="1:5">
      <c r="A17">
        <v>27646.240000000002</v>
      </c>
      <c r="B17" s="1">
        <v>29075.39</v>
      </c>
      <c r="C17">
        <v>31632.79</v>
      </c>
      <c r="D17">
        <v>-11.59</v>
      </c>
      <c r="E17">
        <v>4.2</v>
      </c>
    </row>
    <row r="18" spans="1:5">
      <c r="A18">
        <v>28621.45</v>
      </c>
      <c r="D18">
        <v>20.34</v>
      </c>
      <c r="E18">
        <v>5</v>
      </c>
    </row>
    <row r="19" spans="1:5">
      <c r="A19">
        <v>29063.34</v>
      </c>
      <c r="D19">
        <v>25.9</v>
      </c>
      <c r="E19">
        <v>5.4</v>
      </c>
    </row>
    <row r="20" spans="1:5">
      <c r="A20">
        <v>27807.47</v>
      </c>
      <c r="D20">
        <v>19.75</v>
      </c>
      <c r="E20">
        <v>5.4</v>
      </c>
    </row>
    <row r="21" spans="1:5">
      <c r="A21">
        <v>25700</v>
      </c>
      <c r="D21">
        <v>36.44</v>
      </c>
      <c r="E21">
        <v>5.3</v>
      </c>
    </row>
    <row r="22" spans="1:5">
      <c r="A22">
        <v>23992.17</v>
      </c>
      <c r="D22">
        <v>-8.07</v>
      </c>
      <c r="E22">
        <v>5.4</v>
      </c>
    </row>
    <row r="23" spans="1:5">
      <c r="A23">
        <v>27092.77</v>
      </c>
      <c r="D23">
        <v>5.71</v>
      </c>
      <c r="E23">
        <v>6.2</v>
      </c>
    </row>
    <row r="24" spans="1:5">
      <c r="A24">
        <v>29472.55</v>
      </c>
      <c r="D24">
        <v>5.5</v>
      </c>
      <c r="E24">
        <v>6.8</v>
      </c>
    </row>
    <row r="25" spans="1:5">
      <c r="A25">
        <v>29162.54</v>
      </c>
      <c r="D25">
        <v>18.79</v>
      </c>
      <c r="E25">
        <v>7</v>
      </c>
    </row>
    <row r="26" spans="1:5">
      <c r="A26" s="1">
        <v>29656.49</v>
      </c>
      <c r="D26">
        <v>31.71</v>
      </c>
      <c r="E26">
        <v>7.5</v>
      </c>
    </row>
    <row r="27" spans="1:5">
      <c r="A27" s="1">
        <v>30682.14</v>
      </c>
      <c r="D27">
        <v>24.02</v>
      </c>
      <c r="E27">
        <v>7.9</v>
      </c>
    </row>
    <row r="28" spans="1:5">
      <c r="A28" s="1">
        <v>31120.560000000001</v>
      </c>
      <c r="D28">
        <v>18.37</v>
      </c>
      <c r="E28">
        <v>8.5</v>
      </c>
    </row>
    <row r="29" spans="1:5">
      <c r="A29" s="1">
        <v>31670.62</v>
      </c>
      <c r="D29">
        <v>-0.99</v>
      </c>
      <c r="E29">
        <v>8.3000000000000007</v>
      </c>
    </row>
    <row r="30" spans="1:5">
      <c r="A30" s="1">
        <v>32092.63</v>
      </c>
      <c r="D30">
        <v>52.62</v>
      </c>
      <c r="E30">
        <v>8.6</v>
      </c>
    </row>
    <row r="31" spans="1:5">
      <c r="A31" s="1">
        <v>31638.77</v>
      </c>
      <c r="D31">
        <v>31.56</v>
      </c>
      <c r="E31">
        <v>9.1</v>
      </c>
    </row>
    <row r="32" spans="1:5">
      <c r="A32" s="1">
        <v>32338.65</v>
      </c>
      <c r="D32">
        <v>6.56</v>
      </c>
      <c r="E32">
        <v>8.5</v>
      </c>
    </row>
    <row r="33" spans="4:5">
      <c r="D33">
        <v>-10.78</v>
      </c>
      <c r="E33">
        <v>8.3000000000000007</v>
      </c>
    </row>
    <row r="34" spans="4:5">
      <c r="D34">
        <v>43.36</v>
      </c>
      <c r="E34">
        <v>8.1999999999999993</v>
      </c>
    </row>
    <row r="35" spans="4:5">
      <c r="D35">
        <v>11.96</v>
      </c>
      <c r="E35">
        <v>7.75</v>
      </c>
    </row>
    <row r="36" spans="4:5">
      <c r="D36">
        <v>0.47</v>
      </c>
      <c r="E36">
        <v>7.11</v>
      </c>
    </row>
    <row r="37" spans="4:5">
      <c r="D37">
        <v>26.89</v>
      </c>
      <c r="E37">
        <v>6.45</v>
      </c>
    </row>
    <row r="38" spans="4:5">
      <c r="D38">
        <v>-8.73</v>
      </c>
      <c r="E38">
        <v>6.41</v>
      </c>
    </row>
    <row r="39" spans="4:5">
      <c r="D39">
        <v>22.8</v>
      </c>
      <c r="E39">
        <v>6.04</v>
      </c>
    </row>
    <row r="40" spans="4:5">
      <c r="D40">
        <v>16.48</v>
      </c>
      <c r="E40">
        <v>4.9800000000000004</v>
      </c>
    </row>
    <row r="41" spans="4:5">
      <c r="D41">
        <v>12.45</v>
      </c>
      <c r="E41">
        <v>4.93</v>
      </c>
    </row>
    <row r="42" spans="4:5">
      <c r="D42">
        <v>-10.06</v>
      </c>
      <c r="E42">
        <v>4.05</v>
      </c>
    </row>
    <row r="43" spans="4:5">
      <c r="D43">
        <v>23.98</v>
      </c>
      <c r="E43">
        <v>2.97</v>
      </c>
    </row>
    <row r="44" spans="4:5">
      <c r="D44">
        <v>11.06</v>
      </c>
      <c r="E44">
        <v>3.18</v>
      </c>
    </row>
    <row r="45" spans="4:5">
      <c r="D45">
        <v>-8.5</v>
      </c>
      <c r="E45">
        <v>3.67</v>
      </c>
    </row>
    <row r="46" spans="4:5">
      <c r="D46">
        <v>4.01</v>
      </c>
      <c r="E46">
        <v>3.7</v>
      </c>
    </row>
    <row r="47" spans="4:5">
      <c r="D47">
        <v>14.31</v>
      </c>
      <c r="E47">
        <v>3.2</v>
      </c>
    </row>
    <row r="48" spans="4:5">
      <c r="D48">
        <v>18.98</v>
      </c>
      <c r="E48">
        <v>3.1</v>
      </c>
    </row>
    <row r="49" spans="4:5">
      <c r="D49">
        <v>-14.66</v>
      </c>
      <c r="E49">
        <v>3.4</v>
      </c>
    </row>
    <row r="50" spans="4:5">
      <c r="D50">
        <v>-26.47</v>
      </c>
      <c r="E50">
        <v>3.1</v>
      </c>
    </row>
    <row r="51" spans="4:5">
      <c r="D51">
        <v>37.200000000000003</v>
      </c>
      <c r="E51">
        <v>3.2</v>
      </c>
    </row>
    <row r="52" spans="4:5">
      <c r="D52">
        <v>23.84</v>
      </c>
      <c r="E52">
        <v>3.5</v>
      </c>
    </row>
    <row r="53" spans="4:5">
      <c r="D53">
        <v>-7.18</v>
      </c>
    </row>
    <row r="54" spans="4:5">
      <c r="D54">
        <v>6.56</v>
      </c>
    </row>
    <row r="55" spans="4:5">
      <c r="D55">
        <v>18.440000000000001</v>
      </c>
    </row>
    <row r="56" spans="4:5">
      <c r="D56">
        <v>32.42</v>
      </c>
    </row>
    <row r="57" spans="4:5">
      <c r="D57">
        <v>-4.91</v>
      </c>
    </row>
    <row r="58" spans="4:5">
      <c r="D58">
        <v>21.55</v>
      </c>
    </row>
    <row r="59" spans="4:5">
      <c r="D59">
        <v>22.56</v>
      </c>
    </row>
    <row r="60" spans="4:5">
      <c r="D60">
        <v>6.27</v>
      </c>
    </row>
    <row r="61" spans="4:5">
      <c r="D61">
        <v>31.73</v>
      </c>
    </row>
    <row r="62" spans="4:5">
      <c r="D62">
        <v>18.670000000000002</v>
      </c>
    </row>
    <row r="63" spans="4:5">
      <c r="D63">
        <v>5.25</v>
      </c>
    </row>
    <row r="64" spans="4:5">
      <c r="D64">
        <v>16.61</v>
      </c>
    </row>
    <row r="65" spans="4:4">
      <c r="D65">
        <v>31.69</v>
      </c>
    </row>
    <row r="66" spans="4:4">
      <c r="D66">
        <v>-3.1</v>
      </c>
    </row>
    <row r="67" spans="4:4">
      <c r="D67">
        <v>30.47</v>
      </c>
    </row>
    <row r="68" spans="4:4">
      <c r="D68">
        <v>7.62</v>
      </c>
    </row>
    <row r="69" spans="4:4">
      <c r="D69">
        <v>10.08</v>
      </c>
    </row>
    <row r="70" spans="4:4">
      <c r="D70">
        <v>1.32</v>
      </c>
    </row>
    <row r="71" spans="4:4">
      <c r="D71">
        <v>37.58</v>
      </c>
    </row>
    <row r="72" spans="4:4">
      <c r="D72">
        <v>22.96</v>
      </c>
    </row>
    <row r="73" spans="4:4">
      <c r="D73">
        <v>33.36</v>
      </c>
    </row>
    <row r="74" spans="4:4">
      <c r="D74">
        <v>28.58</v>
      </c>
    </row>
    <row r="75" spans="4:4">
      <c r="D75">
        <v>21.04</v>
      </c>
    </row>
    <row r="76" spans="4:4">
      <c r="D76">
        <v>-9.1</v>
      </c>
    </row>
    <row r="77" spans="4:4">
      <c r="D77">
        <v>-11.89</v>
      </c>
    </row>
    <row r="78" spans="4:4">
      <c r="D78">
        <v>-22.1</v>
      </c>
    </row>
    <row r="79" spans="4:4">
      <c r="D79">
        <v>28.68</v>
      </c>
    </row>
    <row r="80" spans="4:4">
      <c r="D80">
        <v>10.88</v>
      </c>
    </row>
    <row r="81" spans="4:4">
      <c r="D81">
        <v>4.91</v>
      </c>
    </row>
    <row r="82" spans="4:4">
      <c r="D82">
        <v>15.79</v>
      </c>
    </row>
    <row r="83" spans="4:4">
      <c r="D83">
        <v>5.49</v>
      </c>
    </row>
    <row r="84" spans="4:4">
      <c r="D84">
        <v>-37</v>
      </c>
    </row>
    <row r="85" spans="4:4">
      <c r="D85">
        <v>26.46</v>
      </c>
    </row>
    <row r="86" spans="4:4">
      <c r="D86">
        <v>15.06</v>
      </c>
    </row>
    <row r="87" spans="4:4">
      <c r="D87">
        <v>2.11</v>
      </c>
    </row>
    <row r="88" spans="4:4">
      <c r="D88">
        <v>16</v>
      </c>
    </row>
    <row r="89" spans="4:4">
      <c r="D89">
        <v>32.39</v>
      </c>
    </row>
    <row r="90" spans="4:4">
      <c r="D90">
        <v>13.69</v>
      </c>
    </row>
    <row r="91" spans="4:4">
      <c r="D91">
        <v>1.38</v>
      </c>
    </row>
    <row r="92" spans="4:4">
      <c r="D92">
        <v>11.96</v>
      </c>
    </row>
    <row r="93" spans="4:4">
      <c r="D93">
        <v>21.83</v>
      </c>
    </row>
    <row r="94" spans="4:4">
      <c r="D94">
        <v>-4.38</v>
      </c>
    </row>
    <row r="95" spans="4:4">
      <c r="D95">
        <v>31.49</v>
      </c>
    </row>
    <row r="96" spans="4:4">
      <c r="D96">
        <v>18.399999999999999</v>
      </c>
    </row>
    <row r="97" spans="4:4">
      <c r="D97">
        <v>28.71</v>
      </c>
    </row>
    <row r="98" spans="4:4">
      <c r="D98">
        <v>-18.170000000000002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Yi Ming</dc:creator>
  <cp:lastModifiedBy>Yi-Ming Chang</cp:lastModifiedBy>
  <dcterms:created xsi:type="dcterms:W3CDTF">2023-07-12T22:53:00Z</dcterms:created>
  <dcterms:modified xsi:type="dcterms:W3CDTF">2024-10-19T01:27:31Z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10F19C6975E14C4F9C8512D93DDF1837_12</vt:lpwstr>
  </property>
  <property fmtid="{D5CDD505-2E9C-101B-9397-08002B2CF9AE}" pid="3" name="KSOProductBuildVer">
    <vt:lpwstr>1033-12.2.0.16731</vt:lpwstr>
  </property>
</Properties>
</file>